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mien Heo\Documents\GitHub\DS_Database2018\경데베\과제\"/>
    </mc:Choice>
  </mc:AlternateContent>
  <xr:revisionPtr revIDLastSave="0" documentId="13_ncr:1_{4762981D-D1CB-4AB0-8975-25FCA30DC865}" xr6:coauthVersionLast="33" xr6:coauthVersionMax="33" xr10:uidLastSave="{00000000-0000-0000-0000-000000000000}"/>
  <bookViews>
    <workbookView xWindow="0" yWindow="0" windowWidth="19200" windowHeight="6880" activeTab="1" xr2:uid="{00000000-000D-0000-FFFF-FFFF00000000}"/>
  </bookViews>
  <sheets>
    <sheet name="Seoul_Pop_detail" sheetId="1" r:id="rId1"/>
    <sheet name="Sheet1" sheetId="2" r:id="rId2"/>
  </sheets>
  <definedNames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Seoul_Pop_detail!$C$13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79017"/>
</workbook>
</file>

<file path=xl/calcChain.xml><?xml version="1.0" encoding="utf-8"?>
<calcChain xmlns="http://schemas.openxmlformats.org/spreadsheetml/2006/main">
  <c r="B13" i="2" l="1"/>
  <c r="C12" i="2" s="1"/>
  <c r="G9" i="2"/>
  <c r="S7" i="2" s="1"/>
  <c r="E9" i="2"/>
  <c r="H7" i="2"/>
  <c r="I7" i="2" l="1"/>
  <c r="L7" i="2"/>
  <c r="D7" i="2"/>
  <c r="E7" i="2"/>
  <c r="P7" i="2"/>
  <c r="B7" i="2"/>
  <c r="J7" i="2"/>
  <c r="N7" i="2"/>
  <c r="R7" i="2"/>
  <c r="M7" i="2"/>
  <c r="Q7" i="2"/>
  <c r="F7" i="2"/>
  <c r="C7" i="2"/>
  <c r="G7" i="2"/>
  <c r="K7" i="2"/>
  <c r="O7" i="2"/>
  <c r="B13" i="1"/>
  <c r="G9" i="1"/>
  <c r="B7" i="1" s="1"/>
  <c r="E9" i="1"/>
  <c r="C12" i="1" s="1"/>
  <c r="F7" i="1" l="1"/>
  <c r="I7" i="1"/>
  <c r="Q7" i="1"/>
  <c r="M7" i="1"/>
  <c r="E7" i="1"/>
  <c r="P7" i="1"/>
  <c r="L7" i="1"/>
  <c r="H7" i="1"/>
  <c r="D7" i="1"/>
  <c r="S7" i="1"/>
  <c r="O7" i="1"/>
  <c r="K7" i="1"/>
  <c r="G7" i="1"/>
  <c r="C7" i="1"/>
  <c r="R7" i="1"/>
  <c r="N7" i="1"/>
  <c r="J7" i="1"/>
</calcChain>
</file>

<file path=xl/sharedStrings.xml><?xml version="1.0" encoding="utf-8"?>
<sst xmlns="http://schemas.openxmlformats.org/spreadsheetml/2006/main" count="80" uniqueCount="40">
  <si>
    <t>기간</t>
  </si>
  <si>
    <t>65세</t>
  </si>
  <si>
    <t>66세</t>
  </si>
  <si>
    <t>67세</t>
  </si>
  <si>
    <t>68세</t>
  </si>
  <si>
    <t>69세</t>
  </si>
  <si>
    <t>70세</t>
  </si>
  <si>
    <t>71세</t>
  </si>
  <si>
    <t>72세</t>
  </si>
  <si>
    <t>73세</t>
  </si>
  <si>
    <t>74세</t>
  </si>
  <si>
    <t>75세</t>
  </si>
  <si>
    <t>76세</t>
  </si>
  <si>
    <t>77세</t>
  </si>
  <si>
    <t>78세</t>
  </si>
  <si>
    <t>79세</t>
  </si>
  <si>
    <t>손실액</t>
  </si>
  <si>
    <t>80~89세</t>
  </si>
  <si>
    <t>90~99세</t>
  </si>
  <si>
    <t>100세 이상</t>
  </si>
  <si>
    <t>기본요금</t>
    <phoneticPr fontId="18" type="noConversion"/>
  </si>
  <si>
    <t>추정손실치</t>
    <phoneticPr fontId="18" type="noConversion"/>
  </si>
  <si>
    <t>17년 노인 이용횟수</t>
    <phoneticPr fontId="18" type="noConversion"/>
  </si>
  <si>
    <t>인당 이용횟수</t>
    <phoneticPr fontId="18" type="noConversion"/>
  </si>
  <si>
    <t>인구수</t>
  </si>
  <si>
    <t>65세이상</t>
  </si>
  <si>
    <t>66세이상</t>
  </si>
  <si>
    <t>67세이상</t>
  </si>
  <si>
    <t>68세이상</t>
  </si>
  <si>
    <t>69세이상</t>
  </si>
  <si>
    <t>70세이상</t>
  </si>
  <si>
    <t>71세이상</t>
  </si>
  <si>
    <t>72세이상</t>
  </si>
  <si>
    <t>73세이상</t>
  </si>
  <si>
    <t>74세이상</t>
  </si>
  <si>
    <t>75세이상</t>
  </si>
  <si>
    <t>76세이상</t>
  </si>
  <si>
    <t>77세이상</t>
  </si>
  <si>
    <t>78세이상</t>
  </si>
  <si>
    <t>79세이상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</si>
</sst>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3" fontId="0" fillId="0" borderId="0" xfId="0" applyNumberFormat="1">
      <alignment vertical="center"/>
    </xf>
    <xf numFmtId="41" fontId="0" fillId="0" borderId="0" xfId="42" applyFont="1">
      <alignment vertical="center"/>
    </xf>
    <xf numFmtId="41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1"/>
  <sheetViews>
    <sheetView showFormulas="1" zoomScale="70" zoomScaleNormal="70" workbookViewId="0">
      <selection activeCell="B15" sqref="B15"/>
    </sheetView>
  </sheetViews>
  <sheetFormatPr defaultRowHeight="17" x14ac:dyDescent="0.45"/>
  <cols>
    <col min="2" max="2" width="12.6640625" bestFit="1" customWidth="1"/>
    <col min="3" max="3" width="16.33203125" bestFit="1" customWidth="1"/>
    <col min="4" max="4" width="12.6640625" bestFit="1" customWidth="1"/>
    <col min="5" max="5" width="16.4140625" bestFit="1" customWidth="1"/>
    <col min="6" max="10" width="12.6640625" bestFit="1" customWidth="1"/>
    <col min="11" max="17" width="11.6640625" bestFit="1" customWidth="1"/>
    <col min="18" max="18" width="10.58203125" bestFit="1" customWidth="1"/>
    <col min="19" max="19" width="9.08203125" bestFit="1" customWidth="1"/>
  </cols>
  <sheetData>
    <row r="1" spans="1:2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17</v>
      </c>
      <c r="R1" t="s">
        <v>18</v>
      </c>
      <c r="S1" t="s">
        <v>19</v>
      </c>
    </row>
    <row r="2" spans="1:20" x14ac:dyDescent="0.45">
      <c r="A2">
        <v>2013</v>
      </c>
      <c r="B2" s="1">
        <v>96948</v>
      </c>
      <c r="C2" s="1">
        <v>99381</v>
      </c>
      <c r="D2" s="1">
        <v>80330</v>
      </c>
      <c r="E2" s="1">
        <v>71025</v>
      </c>
      <c r="F2" s="1">
        <v>71913</v>
      </c>
      <c r="G2" s="1">
        <v>70798</v>
      </c>
      <c r="H2" s="1">
        <v>84397</v>
      </c>
      <c r="I2" s="1">
        <v>67721</v>
      </c>
      <c r="J2" s="1">
        <v>58019</v>
      </c>
      <c r="K2" s="1">
        <v>57326</v>
      </c>
      <c r="L2" s="1">
        <v>50202</v>
      </c>
      <c r="M2" s="1">
        <v>45327</v>
      </c>
      <c r="N2" s="1">
        <v>41164</v>
      </c>
      <c r="O2" s="1">
        <v>38703</v>
      </c>
      <c r="P2" s="1">
        <v>32792</v>
      </c>
      <c r="Q2" s="1">
        <v>158807</v>
      </c>
      <c r="R2" s="1">
        <v>22882</v>
      </c>
      <c r="S2">
        <v>603</v>
      </c>
    </row>
    <row r="3" spans="1:20" x14ac:dyDescent="0.45">
      <c r="A3">
        <v>2014</v>
      </c>
      <c r="B3" s="1">
        <v>96354</v>
      </c>
      <c r="C3" s="1">
        <v>95181</v>
      </c>
      <c r="D3" s="1">
        <v>97469</v>
      </c>
      <c r="E3" s="1">
        <v>78719</v>
      </c>
      <c r="F3" s="1">
        <v>69544</v>
      </c>
      <c r="G3" s="1">
        <v>70375</v>
      </c>
      <c r="H3" s="1">
        <v>69173</v>
      </c>
      <c r="I3" s="1">
        <v>82269</v>
      </c>
      <c r="J3" s="1">
        <v>65960</v>
      </c>
      <c r="K3" s="1">
        <v>56411</v>
      </c>
      <c r="L3" s="1">
        <v>55563</v>
      </c>
      <c r="M3" s="1">
        <v>48596</v>
      </c>
      <c r="N3" s="1">
        <v>43781</v>
      </c>
      <c r="O3" s="1">
        <v>39642</v>
      </c>
      <c r="P3" s="1">
        <v>37078</v>
      </c>
      <c r="Q3" s="1">
        <v>171502</v>
      </c>
      <c r="R3" s="1">
        <v>24165</v>
      </c>
      <c r="S3">
        <v>671</v>
      </c>
    </row>
    <row r="4" spans="1:20" x14ac:dyDescent="0.45">
      <c r="A4">
        <v>2015</v>
      </c>
      <c r="B4" s="1">
        <v>93155</v>
      </c>
      <c r="C4" s="1">
        <v>94226</v>
      </c>
      <c r="D4" s="1">
        <v>93095</v>
      </c>
      <c r="E4" s="1">
        <v>95131</v>
      </c>
      <c r="F4" s="1">
        <v>76905</v>
      </c>
      <c r="G4" s="1">
        <v>67767</v>
      </c>
      <c r="H4" s="1">
        <v>68503</v>
      </c>
      <c r="I4" s="1">
        <v>67211</v>
      </c>
      <c r="J4" s="1">
        <v>79812</v>
      </c>
      <c r="K4" s="1">
        <v>64075</v>
      </c>
      <c r="L4" s="1">
        <v>54571</v>
      </c>
      <c r="M4" s="1">
        <v>53650</v>
      </c>
      <c r="N4" s="1">
        <v>46780</v>
      </c>
      <c r="O4" s="1">
        <v>42051</v>
      </c>
      <c r="P4" s="1">
        <v>37947</v>
      </c>
      <c r="Q4" s="1">
        <v>192801</v>
      </c>
      <c r="R4" s="1">
        <v>29719</v>
      </c>
      <c r="S4" s="1">
        <v>5037</v>
      </c>
    </row>
    <row r="5" spans="1:20" x14ac:dyDescent="0.45">
      <c r="A5">
        <v>2016</v>
      </c>
      <c r="B5" s="1">
        <v>81961</v>
      </c>
      <c r="C5" s="1">
        <v>91255</v>
      </c>
      <c r="D5" s="1">
        <v>92072</v>
      </c>
      <c r="E5" s="1">
        <v>90835</v>
      </c>
      <c r="F5" s="1">
        <v>92833</v>
      </c>
      <c r="G5" s="1">
        <v>75089</v>
      </c>
      <c r="H5" s="1">
        <v>65982</v>
      </c>
      <c r="I5" s="1">
        <v>66730</v>
      </c>
      <c r="J5" s="1">
        <v>65391</v>
      </c>
      <c r="K5" s="1">
        <v>77388</v>
      </c>
      <c r="L5" s="1">
        <v>62084</v>
      </c>
      <c r="M5" s="1">
        <v>52772</v>
      </c>
      <c r="N5" s="1">
        <v>51775</v>
      </c>
      <c r="O5" s="1">
        <v>44952</v>
      </c>
      <c r="P5" s="1">
        <v>40378</v>
      </c>
      <c r="Q5" s="1">
        <v>207716</v>
      </c>
      <c r="R5" s="1">
        <v>31211</v>
      </c>
      <c r="S5" s="1">
        <v>5475</v>
      </c>
    </row>
    <row r="6" spans="1:20" x14ac:dyDescent="0.45">
      <c r="A6">
        <v>2017</v>
      </c>
      <c r="B6" s="1">
        <v>114400</v>
      </c>
      <c r="C6" s="1">
        <v>80233</v>
      </c>
      <c r="D6" s="1">
        <v>89224</v>
      </c>
      <c r="E6" s="1">
        <v>89871</v>
      </c>
      <c r="F6" s="1">
        <v>88753</v>
      </c>
      <c r="G6" s="1">
        <v>90591</v>
      </c>
      <c r="H6" s="1">
        <v>73185</v>
      </c>
      <c r="I6" s="1">
        <v>64285</v>
      </c>
      <c r="J6" s="1">
        <v>64933</v>
      </c>
      <c r="K6" s="1">
        <v>63515</v>
      </c>
      <c r="L6" s="1">
        <v>74898</v>
      </c>
      <c r="M6" s="1">
        <v>60021</v>
      </c>
      <c r="N6" s="1">
        <v>50860</v>
      </c>
      <c r="O6" s="1">
        <v>49861</v>
      </c>
      <c r="P6" s="1">
        <v>43160</v>
      </c>
      <c r="Q6" s="1">
        <v>223113</v>
      </c>
      <c r="R6" s="1">
        <v>33479</v>
      </c>
      <c r="S6" s="1">
        <v>5519</v>
      </c>
    </row>
    <row r="7" spans="1:20" x14ac:dyDescent="0.45">
      <c r="B7" s="1">
        <f>B6*$G$9</f>
        <v>17679199.294654537</v>
      </c>
      <c r="C7" s="1">
        <f t="shared" ref="C7:S7" si="0">C6*$G$9</f>
        <v>12399083.889930222</v>
      </c>
      <c r="D7" s="1">
        <f t="shared" si="0"/>
        <v>13788539.142187556</v>
      </c>
      <c r="E7" s="1">
        <f t="shared" si="0"/>
        <v>13888525.522813793</v>
      </c>
      <c r="F7" s="1">
        <f t="shared" si="0"/>
        <v>13715751.529706942</v>
      </c>
      <c r="G7" s="1">
        <f t="shared" si="0"/>
        <v>13999793.210682249</v>
      </c>
      <c r="H7" s="1">
        <f t="shared" si="0"/>
        <v>11309896.856462345</v>
      </c>
      <c r="I7" s="1">
        <f t="shared" si="0"/>
        <v>9934504.6036439408</v>
      </c>
      <c r="J7" s="1">
        <f t="shared" si="0"/>
        <v>10034645.52272555</v>
      </c>
      <c r="K7" s="1">
        <f t="shared" si="0"/>
        <v>9815509.9930068441</v>
      </c>
      <c r="L7" s="1">
        <f t="shared" si="0"/>
        <v>11574621.230516044</v>
      </c>
      <c r="M7" s="1">
        <f t="shared" si="0"/>
        <v>9275552.6299340911</v>
      </c>
      <c r="N7" s="1">
        <f t="shared" si="0"/>
        <v>7859825.8402633723</v>
      </c>
      <c r="O7" s="1">
        <f t="shared" si="0"/>
        <v>7705441.9233458908</v>
      </c>
      <c r="P7" s="1">
        <f t="shared" si="0"/>
        <v>6669879.7338923933</v>
      </c>
      <c r="Q7" s="1">
        <f t="shared" si="0"/>
        <v>34479538.393603653</v>
      </c>
      <c r="R7" s="1">
        <f t="shared" si="0"/>
        <v>5173792.9474277906</v>
      </c>
      <c r="S7" s="1">
        <f t="shared" si="0"/>
        <v>852897.73520278314</v>
      </c>
    </row>
    <row r="8" spans="1:20" x14ac:dyDescent="0.45">
      <c r="A8" t="s">
        <v>20</v>
      </c>
      <c r="B8" s="4" t="s">
        <v>22</v>
      </c>
      <c r="C8" s="4"/>
      <c r="D8" s="4"/>
      <c r="E8" t="s">
        <v>21</v>
      </c>
      <c r="G8" t="s">
        <v>23</v>
      </c>
    </row>
    <row r="9" spans="1:20" x14ac:dyDescent="0.45">
      <c r="A9">
        <v>1250</v>
      </c>
      <c r="B9" s="5">
        <v>210157000</v>
      </c>
      <c r="C9" s="5"/>
      <c r="D9" s="5"/>
      <c r="E9" s="2">
        <f>A9*B9</f>
        <v>262696250000</v>
      </c>
      <c r="G9">
        <f>B9/SUM(B6:S6)</f>
        <v>154.53845537285434</v>
      </c>
    </row>
    <row r="11" spans="1:20" x14ac:dyDescent="0.45">
      <c r="C11" t="s">
        <v>16</v>
      </c>
    </row>
    <row r="12" spans="1:20" x14ac:dyDescent="0.45">
      <c r="A12" t="s">
        <v>24</v>
      </c>
      <c r="C12" s="3">
        <f>E9</f>
        <v>262696250000</v>
      </c>
    </row>
    <row r="13" spans="1:20" x14ac:dyDescent="0.45">
      <c r="A13" t="s">
        <v>25</v>
      </c>
      <c r="B13" s="2">
        <f>B9</f>
        <v>210157000</v>
      </c>
      <c r="C13" s="2">
        <f t="dataTable" ref="C13:C27" dt2D="0" dtr="0" r1="B9" ca="1"/>
        <v>262696250000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1"/>
    </row>
    <row r="14" spans="1:20" x14ac:dyDescent="0.45">
      <c r="A14" t="s">
        <v>26</v>
      </c>
      <c r="B14" s="1">
        <v>192477800.70534545</v>
      </c>
      <c r="C14" s="1">
        <v>240597250881.68182</v>
      </c>
    </row>
    <row r="15" spans="1:20" x14ac:dyDescent="0.45">
      <c r="A15" t="s">
        <v>27</v>
      </c>
      <c r="B15" s="1">
        <v>180078716.81541523</v>
      </c>
      <c r="C15" s="1">
        <v>225098396019.26904</v>
      </c>
    </row>
    <row r="16" spans="1:20" x14ac:dyDescent="0.45">
      <c r="A16" t="s">
        <v>28</v>
      </c>
      <c r="B16" s="1">
        <v>166290177.67322767</v>
      </c>
      <c r="C16" s="1">
        <v>207862722091.53458</v>
      </c>
      <c r="D16" s="1"/>
    </row>
    <row r="17" spans="1:4" x14ac:dyDescent="0.45">
      <c r="A17" t="s">
        <v>29</v>
      </c>
      <c r="B17" s="1">
        <v>152401652.15041387</v>
      </c>
      <c r="C17" s="1">
        <v>190502065188.01733</v>
      </c>
      <c r="D17" s="1"/>
    </row>
    <row r="18" spans="1:4" x14ac:dyDescent="0.45">
      <c r="A18" t="s">
        <v>30</v>
      </c>
      <c r="B18" s="1">
        <v>138685900.62070692</v>
      </c>
      <c r="C18" s="1">
        <v>173357375775.88364</v>
      </c>
      <c r="D18" s="1"/>
    </row>
    <row r="19" spans="1:4" x14ac:dyDescent="0.45">
      <c r="A19" t="s">
        <v>31</v>
      </c>
      <c r="B19" s="1">
        <v>124686107.41002467</v>
      </c>
      <c r="C19" s="1">
        <v>155857634262.53085</v>
      </c>
      <c r="D19" s="1"/>
    </row>
    <row r="20" spans="1:4" x14ac:dyDescent="0.45">
      <c r="A20" t="s">
        <v>32</v>
      </c>
      <c r="B20" s="1">
        <v>113376210.55356233</v>
      </c>
      <c r="C20" s="1">
        <v>141720263191.95291</v>
      </c>
      <c r="D20" s="1"/>
    </row>
    <row r="21" spans="1:4" x14ac:dyDescent="0.45">
      <c r="A21" t="s">
        <v>33</v>
      </c>
      <c r="B21" s="1">
        <v>103441705.94991839</v>
      </c>
      <c r="C21" s="1">
        <v>129302132437.39798</v>
      </c>
      <c r="D21" s="1"/>
    </row>
    <row r="22" spans="1:4" x14ac:dyDescent="0.45">
      <c r="A22" t="s">
        <v>34</v>
      </c>
      <c r="B22" s="1">
        <v>93407060.427192837</v>
      </c>
      <c r="C22" s="1">
        <v>116758825533.99104</v>
      </c>
      <c r="D22" s="1"/>
    </row>
    <row r="23" spans="1:4" x14ac:dyDescent="0.45">
      <c r="A23" t="s">
        <v>35</v>
      </c>
      <c r="B23" s="1">
        <v>83591550.434185997</v>
      </c>
      <c r="C23" s="1">
        <v>104489438042.7325</v>
      </c>
      <c r="D23" s="1"/>
    </row>
    <row r="24" spans="1:4" x14ac:dyDescent="0.45">
      <c r="A24" t="s">
        <v>36</v>
      </c>
      <c r="B24" s="1">
        <v>72016929.20366995</v>
      </c>
      <c r="C24" s="1">
        <v>90021161504.587433</v>
      </c>
      <c r="D24" s="1"/>
    </row>
    <row r="25" spans="1:4" x14ac:dyDescent="0.45">
      <c r="A25" t="s">
        <v>37</v>
      </c>
      <c r="B25" s="1">
        <v>62741376.573735863</v>
      </c>
      <c r="C25" s="1">
        <v>78426720717.16983</v>
      </c>
      <c r="D25" s="1"/>
    </row>
    <row r="26" spans="1:4" x14ac:dyDescent="0.45">
      <c r="A26" t="s">
        <v>38</v>
      </c>
      <c r="B26" s="1">
        <v>54881550.733472489</v>
      </c>
      <c r="C26" s="1">
        <v>68601938416.840614</v>
      </c>
      <c r="D26" s="1"/>
    </row>
    <row r="27" spans="1:4" x14ac:dyDescent="0.45">
      <c r="A27" t="s">
        <v>39</v>
      </c>
      <c r="B27" s="1">
        <v>47176108.810126595</v>
      </c>
      <c r="C27" s="1">
        <v>58970136012.658241</v>
      </c>
      <c r="D27" s="1"/>
    </row>
    <row r="28" spans="1:4" x14ac:dyDescent="0.45">
      <c r="B28" s="1"/>
      <c r="C28" s="1"/>
      <c r="D28" s="1"/>
    </row>
    <row r="29" spans="1:4" x14ac:dyDescent="0.45">
      <c r="B29" s="1"/>
      <c r="C29" s="1"/>
      <c r="D29" s="1"/>
    </row>
    <row r="30" spans="1:4" x14ac:dyDescent="0.45">
      <c r="B30" s="1"/>
      <c r="C30" s="1"/>
      <c r="D30" s="1"/>
    </row>
    <row r="31" spans="1:4" x14ac:dyDescent="0.45">
      <c r="B31" s="1"/>
      <c r="C31" s="1"/>
      <c r="D31" s="1"/>
    </row>
  </sheetData>
  <mergeCells count="2">
    <mergeCell ref="B8:D8"/>
    <mergeCell ref="B9:D9"/>
  </mergeCells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2FF66-FAEB-4B70-A7B6-196CC466F5C2}">
  <dimension ref="A1:S27"/>
  <sheetViews>
    <sheetView tabSelected="1" zoomScale="55" zoomScaleNormal="55" workbookViewId="0">
      <selection activeCell="G21" sqref="G21"/>
    </sheetView>
  </sheetViews>
  <sheetFormatPr defaultRowHeight="17" x14ac:dyDescent="0.45"/>
  <cols>
    <col min="2" max="2" width="14" bestFit="1" customWidth="1"/>
    <col min="3" max="3" width="18.08203125" customWidth="1"/>
    <col min="4" max="4" width="14" bestFit="1" customWidth="1"/>
    <col min="5" max="5" width="18.08203125" bestFit="1" customWidth="1"/>
    <col min="6" max="6" width="11.1640625" bestFit="1" customWidth="1"/>
    <col min="7" max="7" width="13.08203125" bestFit="1" customWidth="1"/>
    <col min="8" max="8" width="11.1640625" bestFit="1" customWidth="1"/>
    <col min="9" max="9" width="10.08203125" bestFit="1" customWidth="1"/>
    <col min="10" max="10" width="11.1640625" bestFit="1" customWidth="1"/>
    <col min="11" max="11" width="10.08203125" bestFit="1" customWidth="1"/>
    <col min="12" max="12" width="11.1640625" bestFit="1" customWidth="1"/>
    <col min="13" max="16" width="10.08203125" bestFit="1" customWidth="1"/>
    <col min="17" max="17" width="11.1640625" bestFit="1" customWidth="1"/>
    <col min="18" max="18" width="10.08203125" bestFit="1" customWidth="1"/>
  </cols>
  <sheetData>
    <row r="1" spans="1:1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17</v>
      </c>
      <c r="R1" t="s">
        <v>18</v>
      </c>
      <c r="S1" t="s">
        <v>19</v>
      </c>
    </row>
    <row r="2" spans="1:19" x14ac:dyDescent="0.45">
      <c r="A2">
        <v>2013</v>
      </c>
      <c r="B2" s="1">
        <v>96948</v>
      </c>
      <c r="C2" s="1">
        <v>99381</v>
      </c>
      <c r="D2" s="1">
        <v>80330</v>
      </c>
      <c r="E2" s="1">
        <v>71025</v>
      </c>
      <c r="F2" s="1">
        <v>71913</v>
      </c>
      <c r="G2" s="1">
        <v>70798</v>
      </c>
      <c r="H2" s="1">
        <v>84397</v>
      </c>
      <c r="I2" s="1">
        <v>67721</v>
      </c>
      <c r="J2" s="1">
        <v>58019</v>
      </c>
      <c r="K2" s="1">
        <v>57326</v>
      </c>
      <c r="L2" s="1">
        <v>50202</v>
      </c>
      <c r="M2" s="1">
        <v>45327</v>
      </c>
      <c r="N2" s="1">
        <v>41164</v>
      </c>
      <c r="O2" s="1">
        <v>38703</v>
      </c>
      <c r="P2" s="1">
        <v>32792</v>
      </c>
      <c r="Q2" s="1">
        <v>158807</v>
      </c>
      <c r="R2" s="1">
        <v>22882</v>
      </c>
      <c r="S2">
        <v>603</v>
      </c>
    </row>
    <row r="3" spans="1:19" x14ac:dyDescent="0.45">
      <c r="A3">
        <v>2014</v>
      </c>
      <c r="B3" s="1">
        <v>96354</v>
      </c>
      <c r="C3" s="1">
        <v>95181</v>
      </c>
      <c r="D3" s="1">
        <v>97469</v>
      </c>
      <c r="E3" s="1">
        <v>78719</v>
      </c>
      <c r="F3" s="1">
        <v>69544</v>
      </c>
      <c r="G3" s="1">
        <v>70375</v>
      </c>
      <c r="H3" s="1">
        <v>69173</v>
      </c>
      <c r="I3" s="1">
        <v>82269</v>
      </c>
      <c r="J3" s="1">
        <v>65960</v>
      </c>
      <c r="K3" s="1">
        <v>56411</v>
      </c>
      <c r="L3" s="1">
        <v>55563</v>
      </c>
      <c r="M3" s="1">
        <v>48596</v>
      </c>
      <c r="N3" s="1">
        <v>43781</v>
      </c>
      <c r="O3" s="1">
        <v>39642</v>
      </c>
      <c r="P3" s="1">
        <v>37078</v>
      </c>
      <c r="Q3" s="1">
        <v>171502</v>
      </c>
      <c r="R3" s="1">
        <v>24165</v>
      </c>
      <c r="S3">
        <v>671</v>
      </c>
    </row>
    <row r="4" spans="1:19" x14ac:dyDescent="0.45">
      <c r="A4">
        <v>2015</v>
      </c>
      <c r="B4" s="1">
        <v>93155</v>
      </c>
      <c r="C4" s="1">
        <v>94226</v>
      </c>
      <c r="D4" s="1">
        <v>93095</v>
      </c>
      <c r="E4" s="1">
        <v>95131</v>
      </c>
      <c r="F4" s="1">
        <v>76905</v>
      </c>
      <c r="G4" s="1">
        <v>67767</v>
      </c>
      <c r="H4" s="1">
        <v>68503</v>
      </c>
      <c r="I4" s="1">
        <v>67211</v>
      </c>
      <c r="J4" s="1">
        <v>79812</v>
      </c>
      <c r="K4" s="1">
        <v>64075</v>
      </c>
      <c r="L4" s="1">
        <v>54571</v>
      </c>
      <c r="M4" s="1">
        <v>53650</v>
      </c>
      <c r="N4" s="1">
        <v>46780</v>
      </c>
      <c r="O4" s="1">
        <v>42051</v>
      </c>
      <c r="P4" s="1">
        <v>37947</v>
      </c>
      <c r="Q4" s="1">
        <v>192801</v>
      </c>
      <c r="R4" s="1">
        <v>29719</v>
      </c>
      <c r="S4" s="1">
        <v>5037</v>
      </c>
    </row>
    <row r="5" spans="1:19" x14ac:dyDescent="0.45">
      <c r="A5">
        <v>2016</v>
      </c>
      <c r="B5" s="1">
        <v>81961</v>
      </c>
      <c r="C5" s="1">
        <v>91255</v>
      </c>
      <c r="D5" s="1">
        <v>92072</v>
      </c>
      <c r="E5" s="1">
        <v>90835</v>
      </c>
      <c r="F5" s="1">
        <v>92833</v>
      </c>
      <c r="G5" s="1">
        <v>75089</v>
      </c>
      <c r="H5" s="1">
        <v>65982</v>
      </c>
      <c r="I5" s="1">
        <v>66730</v>
      </c>
      <c r="J5" s="1">
        <v>65391</v>
      </c>
      <c r="K5" s="1">
        <v>77388</v>
      </c>
      <c r="L5" s="1">
        <v>62084</v>
      </c>
      <c r="M5" s="1">
        <v>52772</v>
      </c>
      <c r="N5" s="1">
        <v>51775</v>
      </c>
      <c r="O5" s="1">
        <v>44952</v>
      </c>
      <c r="P5" s="1">
        <v>40378</v>
      </c>
      <c r="Q5" s="1">
        <v>207716</v>
      </c>
      <c r="R5" s="1">
        <v>31211</v>
      </c>
      <c r="S5" s="1">
        <v>5475</v>
      </c>
    </row>
    <row r="6" spans="1:19" x14ac:dyDescent="0.45">
      <c r="A6">
        <v>2017</v>
      </c>
      <c r="B6" s="1">
        <v>114400</v>
      </c>
      <c r="C6" s="1">
        <v>80233</v>
      </c>
      <c r="D6" s="1">
        <v>89224</v>
      </c>
      <c r="E6" s="1">
        <v>89871</v>
      </c>
      <c r="F6" s="1">
        <v>88753</v>
      </c>
      <c r="G6" s="1">
        <v>90591</v>
      </c>
      <c r="H6" s="1">
        <v>73185</v>
      </c>
      <c r="I6" s="1">
        <v>64285</v>
      </c>
      <c r="J6" s="1">
        <v>64933</v>
      </c>
      <c r="K6" s="1">
        <v>63515</v>
      </c>
      <c r="L6" s="1">
        <v>74898</v>
      </c>
      <c r="M6" s="1">
        <v>60021</v>
      </c>
      <c r="N6" s="1">
        <v>50860</v>
      </c>
      <c r="O6" s="1">
        <v>49861</v>
      </c>
      <c r="P6" s="1">
        <v>43160</v>
      </c>
      <c r="Q6" s="1">
        <v>223113</v>
      </c>
      <c r="R6" s="1">
        <v>33479</v>
      </c>
      <c r="S6" s="1">
        <v>5519</v>
      </c>
    </row>
    <row r="7" spans="1:19" x14ac:dyDescent="0.45">
      <c r="B7" s="1">
        <f>B6*$G$9</f>
        <v>17679199.294654537</v>
      </c>
      <c r="C7" s="1">
        <f t="shared" ref="C7:S7" si="0">C6*$G$9</f>
        <v>12399083.889930222</v>
      </c>
      <c r="D7" s="1">
        <f t="shared" si="0"/>
        <v>13788539.142187556</v>
      </c>
      <c r="E7" s="1">
        <f t="shared" si="0"/>
        <v>13888525.522813793</v>
      </c>
      <c r="F7" s="1">
        <f t="shared" si="0"/>
        <v>13715751.529706942</v>
      </c>
      <c r="G7" s="1">
        <f t="shared" si="0"/>
        <v>13999793.210682249</v>
      </c>
      <c r="H7" s="1">
        <f t="shared" si="0"/>
        <v>11309896.856462345</v>
      </c>
      <c r="I7" s="1">
        <f t="shared" si="0"/>
        <v>9934504.6036439408</v>
      </c>
      <c r="J7" s="1">
        <f t="shared" si="0"/>
        <v>10034645.52272555</v>
      </c>
      <c r="K7" s="1">
        <f t="shared" si="0"/>
        <v>9815509.9930068441</v>
      </c>
      <c r="L7" s="1">
        <f t="shared" si="0"/>
        <v>11574621.230516044</v>
      </c>
      <c r="M7" s="1">
        <f t="shared" si="0"/>
        <v>9275552.6299340911</v>
      </c>
      <c r="N7" s="1">
        <f t="shared" si="0"/>
        <v>7859825.8402633723</v>
      </c>
      <c r="O7" s="1">
        <f t="shared" si="0"/>
        <v>7705441.9233458908</v>
      </c>
      <c r="P7" s="1">
        <f t="shared" si="0"/>
        <v>6669879.7338923933</v>
      </c>
      <c r="Q7" s="1">
        <f t="shared" si="0"/>
        <v>34479538.393603653</v>
      </c>
      <c r="R7" s="1">
        <f t="shared" si="0"/>
        <v>5173792.9474277906</v>
      </c>
      <c r="S7" s="1">
        <f t="shared" si="0"/>
        <v>852897.73520278314</v>
      </c>
    </row>
    <row r="8" spans="1:19" x14ac:dyDescent="0.45">
      <c r="A8" t="s">
        <v>20</v>
      </c>
      <c r="B8" s="4" t="s">
        <v>22</v>
      </c>
      <c r="C8" s="4"/>
      <c r="D8" s="4"/>
      <c r="E8" t="s">
        <v>21</v>
      </c>
      <c r="G8" t="s">
        <v>23</v>
      </c>
    </row>
    <row r="9" spans="1:19" x14ac:dyDescent="0.45">
      <c r="A9">
        <v>1250</v>
      </c>
      <c r="B9" s="5">
        <v>210157000</v>
      </c>
      <c r="C9" s="5"/>
      <c r="D9" s="5"/>
      <c r="E9" s="2">
        <f>A9*B9</f>
        <v>262696250000</v>
      </c>
      <c r="G9">
        <f>B9/SUM(B6:S6)</f>
        <v>154.53845537285434</v>
      </c>
    </row>
    <row r="11" spans="1:19" x14ac:dyDescent="0.45">
      <c r="C11" t="s">
        <v>16</v>
      </c>
    </row>
    <row r="12" spans="1:19" x14ac:dyDescent="0.45">
      <c r="A12" t="s">
        <v>24</v>
      </c>
      <c r="B12" s="2"/>
      <c r="C12" s="2">
        <f>B13*A9</f>
        <v>262696250000</v>
      </c>
    </row>
    <row r="13" spans="1:19" x14ac:dyDescent="0.45">
      <c r="A13" t="s">
        <v>25</v>
      </c>
      <c r="B13" s="2">
        <f>B9</f>
        <v>210157000</v>
      </c>
      <c r="C13" s="2">
        <f t="dataTable" ref="C13:C27" dt2D="0" dtr="0" r1="B9" ca="1"/>
        <v>262696250000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 x14ac:dyDescent="0.45">
      <c r="A14" t="s">
        <v>26</v>
      </c>
      <c r="B14" s="2">
        <v>192477800.70534545</v>
      </c>
      <c r="C14" s="2">
        <v>240597250881.68182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9" x14ac:dyDescent="0.45">
      <c r="A15" t="s">
        <v>27</v>
      </c>
      <c r="B15" s="2">
        <v>180078716.81541523</v>
      </c>
      <c r="C15" s="2">
        <v>225098396019.26904</v>
      </c>
    </row>
    <row r="16" spans="1:19" x14ac:dyDescent="0.45">
      <c r="A16" t="s">
        <v>28</v>
      </c>
      <c r="B16" s="2">
        <v>166290177.67322767</v>
      </c>
      <c r="C16" s="2">
        <v>207862722091.53458</v>
      </c>
    </row>
    <row r="17" spans="1:3" x14ac:dyDescent="0.45">
      <c r="A17" t="s">
        <v>29</v>
      </c>
      <c r="B17" s="2">
        <v>152401652.15041387</v>
      </c>
      <c r="C17" s="2">
        <v>190502065188.01733</v>
      </c>
    </row>
    <row r="18" spans="1:3" x14ac:dyDescent="0.45">
      <c r="A18" t="s">
        <v>30</v>
      </c>
      <c r="B18" s="2">
        <v>138685900.62070692</v>
      </c>
      <c r="C18" s="2">
        <v>173357375775.88364</v>
      </c>
    </row>
    <row r="19" spans="1:3" x14ac:dyDescent="0.45">
      <c r="A19" t="s">
        <v>31</v>
      </c>
      <c r="B19" s="2">
        <v>124686107.41002467</v>
      </c>
      <c r="C19" s="2">
        <v>155857634262.53085</v>
      </c>
    </row>
    <row r="20" spans="1:3" x14ac:dyDescent="0.45">
      <c r="A20" t="s">
        <v>32</v>
      </c>
      <c r="B20" s="2">
        <v>113376210.55356233</v>
      </c>
      <c r="C20" s="2">
        <v>141720263191.95291</v>
      </c>
    </row>
    <row r="21" spans="1:3" x14ac:dyDescent="0.45">
      <c r="A21" t="s">
        <v>33</v>
      </c>
      <c r="B21" s="2">
        <v>103441705.94991839</v>
      </c>
      <c r="C21" s="2">
        <v>129302132437.39798</v>
      </c>
    </row>
    <row r="22" spans="1:3" x14ac:dyDescent="0.45">
      <c r="A22" t="s">
        <v>34</v>
      </c>
      <c r="B22" s="2">
        <v>93407060.427192837</v>
      </c>
      <c r="C22" s="2">
        <v>116758825533.99104</v>
      </c>
    </row>
    <row r="23" spans="1:3" x14ac:dyDescent="0.45">
      <c r="A23" t="s">
        <v>35</v>
      </c>
      <c r="B23" s="2">
        <v>83591550.434185997</v>
      </c>
      <c r="C23" s="2">
        <v>104489438042.7325</v>
      </c>
    </row>
    <row r="24" spans="1:3" x14ac:dyDescent="0.45">
      <c r="A24" t="s">
        <v>36</v>
      </c>
      <c r="B24" s="2">
        <v>72016929.20366995</v>
      </c>
      <c r="C24" s="2">
        <v>90021161504.587433</v>
      </c>
    </row>
    <row r="25" spans="1:3" x14ac:dyDescent="0.45">
      <c r="A25" t="s">
        <v>37</v>
      </c>
      <c r="B25" s="2">
        <v>62741376.573735863</v>
      </c>
      <c r="C25" s="2">
        <v>78426720717.16983</v>
      </c>
    </row>
    <row r="26" spans="1:3" x14ac:dyDescent="0.45">
      <c r="A26" t="s">
        <v>38</v>
      </c>
      <c r="B26" s="2">
        <v>54881550.733472489</v>
      </c>
      <c r="C26" s="2">
        <v>68601938416.840614</v>
      </c>
    </row>
    <row r="27" spans="1:3" x14ac:dyDescent="0.45">
      <c r="A27" t="s">
        <v>39</v>
      </c>
      <c r="B27" s="2">
        <v>47176108.810126595</v>
      </c>
      <c r="C27" s="2">
        <v>58970136012.658241</v>
      </c>
    </row>
  </sheetData>
  <mergeCells count="2">
    <mergeCell ref="B8:D8"/>
    <mergeCell ref="B9:D9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Seoul_Pop_detail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Damien Heo</cp:lastModifiedBy>
  <dcterms:created xsi:type="dcterms:W3CDTF">2018-06-10T16:27:00Z</dcterms:created>
  <dcterms:modified xsi:type="dcterms:W3CDTF">2018-06-11T18:26:56Z</dcterms:modified>
</cp:coreProperties>
</file>