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hee\Desktop\"/>
    </mc:Choice>
  </mc:AlternateContent>
  <xr:revisionPtr revIDLastSave="0" documentId="13_ncr:1_{F209A776-60C3-4CF9-AA4B-F1AA74A484BC}" xr6:coauthVersionLast="33" xr6:coauthVersionMax="33" xr10:uidLastSave="{00000000-0000-0000-0000-000000000000}"/>
  <bookViews>
    <workbookView xWindow="0" yWindow="0" windowWidth="21570" windowHeight="7950" xr2:uid="{2E5432F5-FDA4-4212-9FB6-33227F8DB4C5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  <c r="G18" i="1"/>
  <c r="G17" i="1"/>
  <c r="G16" i="1"/>
  <c r="G15" i="1"/>
  <c r="G14" i="1"/>
  <c r="G13" i="1"/>
  <c r="G12" i="1"/>
  <c r="G11" i="1"/>
  <c r="G10" i="1"/>
  <c r="G8" i="1"/>
  <c r="G7" i="1"/>
  <c r="G6" i="1"/>
  <c r="G5" i="1"/>
  <c r="G4" i="1"/>
  <c r="G3" i="1"/>
  <c r="G2" i="1"/>
  <c r="F18" i="1"/>
  <c r="F17" i="1"/>
  <c r="F16" i="1"/>
  <c r="F15" i="1"/>
  <c r="F14" i="1"/>
  <c r="F13" i="1"/>
  <c r="F12" i="1"/>
  <c r="F11" i="1"/>
  <c r="F10" i="1"/>
  <c r="F8" i="1"/>
  <c r="F7" i="1"/>
  <c r="F6" i="1"/>
  <c r="F5" i="1"/>
  <c r="F4" i="1"/>
  <c r="F3" i="1"/>
  <c r="F2" i="1"/>
  <c r="E18" i="1"/>
  <c r="E17" i="1"/>
  <c r="E16" i="1"/>
  <c r="E15" i="1"/>
  <c r="E14" i="1"/>
  <c r="E13" i="1"/>
  <c r="E12" i="1"/>
  <c r="E11" i="1"/>
  <c r="E10" i="1"/>
  <c r="E8" i="1"/>
  <c r="E7" i="1"/>
  <c r="E6" i="1"/>
  <c r="E5" i="1"/>
  <c r="E4" i="1"/>
  <c r="E3" i="1"/>
  <c r="E2" i="1"/>
  <c r="D18" i="1"/>
  <c r="D17" i="1"/>
  <c r="D16" i="1"/>
  <c r="D15" i="1"/>
  <c r="D14" i="1"/>
  <c r="D13" i="1"/>
  <c r="D12" i="1"/>
  <c r="D11" i="1"/>
  <c r="D10" i="1"/>
  <c r="D8" i="1"/>
  <c r="D7" i="1"/>
  <c r="D6" i="1"/>
  <c r="D5" i="1"/>
  <c r="D4" i="1"/>
  <c r="D3" i="1"/>
  <c r="D2" i="1"/>
  <c r="C16" i="1" l="1"/>
  <c r="C15" i="1"/>
  <c r="C18" i="1"/>
  <c r="C17" i="1"/>
  <c r="C14" i="1"/>
  <c r="C10" i="1"/>
  <c r="C11" i="1"/>
  <c r="C12" i="1"/>
  <c r="C13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<sst xmlns="http://schemas.openxmlformats.org/spreadsheetml/2006/main" count="24" uniqueCount="24">
  <si>
    <t>지역별</t>
    <phoneticPr fontId="1" type="noConversion"/>
  </si>
  <si>
    <t>서울</t>
    <phoneticPr fontId="1" type="noConversion"/>
  </si>
  <si>
    <t>부산</t>
    <phoneticPr fontId="1" type="noConversion"/>
  </si>
  <si>
    <t>대구</t>
    <phoneticPr fontId="1" type="noConversion"/>
  </si>
  <si>
    <t>인천</t>
    <phoneticPr fontId="1" type="noConversion"/>
  </si>
  <si>
    <t>광주</t>
    <phoneticPr fontId="1" type="noConversion"/>
  </si>
  <si>
    <t>대전</t>
    <phoneticPr fontId="1" type="noConversion"/>
  </si>
  <si>
    <t>울산</t>
    <phoneticPr fontId="1" type="noConversion"/>
  </si>
  <si>
    <t>경기</t>
    <phoneticPr fontId="1" type="noConversion"/>
  </si>
  <si>
    <t>강원</t>
    <phoneticPr fontId="1" type="noConversion"/>
  </si>
  <si>
    <t>충북</t>
    <phoneticPr fontId="1" type="noConversion"/>
  </si>
  <si>
    <t>충남</t>
    <phoneticPr fontId="1" type="noConversion"/>
  </si>
  <si>
    <t>전북</t>
    <phoneticPr fontId="1" type="noConversion"/>
  </si>
  <si>
    <t>전남</t>
    <phoneticPr fontId="1" type="noConversion"/>
  </si>
  <si>
    <t>경북</t>
    <phoneticPr fontId="1" type="noConversion"/>
  </si>
  <si>
    <t>경남</t>
    <phoneticPr fontId="1" type="noConversion"/>
  </si>
  <si>
    <t>세종</t>
    <phoneticPr fontId="1" type="noConversion"/>
  </si>
  <si>
    <t>제주</t>
    <phoneticPr fontId="1" type="noConversion"/>
  </si>
  <si>
    <t>2012년</t>
    <phoneticPr fontId="1" type="noConversion"/>
  </si>
  <si>
    <t>2013년</t>
    <phoneticPr fontId="1" type="noConversion"/>
  </si>
  <si>
    <t>2014년</t>
    <phoneticPr fontId="1" type="noConversion"/>
  </si>
  <si>
    <t>2015년</t>
    <phoneticPr fontId="1" type="noConversion"/>
  </si>
  <si>
    <t>2016년</t>
    <phoneticPr fontId="1" type="noConversion"/>
  </si>
  <si>
    <t>소계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</si>
</sst>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DEF5-C5B2-4975-85CE-56938C58E271}">
  <dimension ref="A1:G18"/>
  <sheetViews>
    <sheetView tabSelected="1" workbookViewId="0">
      <selection activeCell="I12" sqref="I12"/>
    </sheetView>
  </sheetViews>
  <sheetFormatPr defaultRowHeight="16.5" x14ac:dyDescent="0.3"/>
  <cols>
    <col min="4" max="7" width="9.875" bestFit="1" customWidth="1"/>
  </cols>
  <sheetData>
    <row r="1" spans="1:7" x14ac:dyDescent="0.3">
      <c r="A1" t="s">
        <v>0</v>
      </c>
      <c r="B1" t="s">
        <v>23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3">
      <c r="A2" t="s">
        <v>1</v>
      </c>
      <c r="B2">
        <f>SUM(C2:G2)/5</f>
        <v>1.1238780588180854</v>
      </c>
      <c r="C2" s="1">
        <f>40/3800*100</f>
        <v>1.0526315789473684</v>
      </c>
      <c r="D2" s="1">
        <f>38/3534*100</f>
        <v>1.0752688172043012</v>
      </c>
      <c r="E2" s="1">
        <f>30/3344*100</f>
        <v>0.89712918660287078</v>
      </c>
      <c r="F2" s="1">
        <f>41/3433*100</f>
        <v>1.1942907078357121</v>
      </c>
      <c r="G2" s="1">
        <f>40/2857*100</f>
        <v>1.400070003500175</v>
      </c>
    </row>
    <row r="3" spans="1:7" x14ac:dyDescent="0.3">
      <c r="A3" t="s">
        <v>4</v>
      </c>
      <c r="B3">
        <f t="shared" ref="B3:B18" si="0">SUM(C3:G3)/5</f>
        <v>1.3440379640521201</v>
      </c>
      <c r="C3" s="1">
        <f>39/1572*100</f>
        <v>2.4809160305343512</v>
      </c>
      <c r="D3" s="1">
        <f>20/1383*100</f>
        <v>1.4461315979754157</v>
      </c>
      <c r="E3" s="1">
        <f>12/1232*100</f>
        <v>0.97402597402597402</v>
      </c>
      <c r="F3" s="1">
        <f>8/1249*100</f>
        <v>0.64051240992794234</v>
      </c>
      <c r="G3" s="1">
        <f>13/1103*100</f>
        <v>1.1786038077969174</v>
      </c>
    </row>
    <row r="4" spans="1:7" x14ac:dyDescent="0.3">
      <c r="A4" t="s">
        <v>8</v>
      </c>
      <c r="B4">
        <f t="shared" si="0"/>
        <v>1.992804997166127</v>
      </c>
      <c r="C4" s="1">
        <f>160/7106*100</f>
        <v>2.251618350689558</v>
      </c>
      <c r="D4" s="1">
        <f>125/6485*100</f>
        <v>1.9275250578257519</v>
      </c>
      <c r="E4" s="1">
        <f>134/5713*100</f>
        <v>2.3455277437423421</v>
      </c>
      <c r="F4" s="1">
        <f>113/5963*100</f>
        <v>1.8950192855944994</v>
      </c>
      <c r="G4" s="1">
        <f>89/5763*100</f>
        <v>1.5443345479784834</v>
      </c>
    </row>
    <row r="5" spans="1:7" x14ac:dyDescent="0.3">
      <c r="A5" t="s">
        <v>9</v>
      </c>
      <c r="B5">
        <f t="shared" si="0"/>
        <v>3.4576265711566228</v>
      </c>
      <c r="C5" s="1">
        <f>49/1235*100</f>
        <v>3.9676113360323888</v>
      </c>
      <c r="D5" s="1">
        <f>47/1066*100</f>
        <v>4.4090056285178241</v>
      </c>
      <c r="E5" s="1">
        <f>22/911*100</f>
        <v>2.4149286498353457</v>
      </c>
      <c r="F5" s="1">
        <f>38/961*100</f>
        <v>3.9542143600416231</v>
      </c>
      <c r="G5" s="1">
        <f>18/708*100</f>
        <v>2.5423728813559325</v>
      </c>
    </row>
    <row r="6" spans="1:7" x14ac:dyDescent="0.3">
      <c r="A6" t="s">
        <v>6</v>
      </c>
      <c r="B6">
        <f t="shared" si="0"/>
        <v>1.4990710900625286</v>
      </c>
      <c r="C6" s="1">
        <f>10/920*100</f>
        <v>1.0869565217391304</v>
      </c>
      <c r="D6" s="1">
        <f>12/917*100</f>
        <v>1.3086150490730644</v>
      </c>
      <c r="E6" s="1">
        <f>12/742*100</f>
        <v>1.6172506738544474</v>
      </c>
      <c r="F6" s="1">
        <f>11/730*100</f>
        <v>1.5068493150684932</v>
      </c>
      <c r="G6" s="1">
        <f>13/658*100</f>
        <v>1.9756838905775076</v>
      </c>
    </row>
    <row r="7" spans="1:7" x14ac:dyDescent="0.3">
      <c r="A7" t="s">
        <v>10</v>
      </c>
      <c r="B7">
        <f t="shared" si="0"/>
        <v>2.0780347680440641</v>
      </c>
      <c r="C7" s="1">
        <f>24/1237*100</f>
        <v>1.9401778496362168</v>
      </c>
      <c r="D7" s="1">
        <f>28/1174*100</f>
        <v>2.385008517887564</v>
      </c>
      <c r="E7" s="1">
        <f>19/1040*100</f>
        <v>1.8269230769230771</v>
      </c>
      <c r="F7" s="1">
        <f>20/1098*100</f>
        <v>1.8214936247723135</v>
      </c>
      <c r="G7" s="1">
        <f>21/869*100</f>
        <v>2.4165707710011506</v>
      </c>
    </row>
    <row r="8" spans="1:7" x14ac:dyDescent="0.3">
      <c r="A8" t="s">
        <v>11</v>
      </c>
      <c r="B8">
        <f t="shared" si="0"/>
        <v>5.366733651680935</v>
      </c>
      <c r="C8" s="1">
        <f>84/1840*100</f>
        <v>4.5652173913043477</v>
      </c>
      <c r="D8" s="1">
        <f>91/1608*100</f>
        <v>5.6592039800995027</v>
      </c>
      <c r="E8" s="1">
        <f>84/1504*100</f>
        <v>5.5851063829787231</v>
      </c>
      <c r="F8" s="1">
        <f>76/1562*100</f>
        <v>4.8655569782330348</v>
      </c>
      <c r="G8" s="1">
        <f>80/1299*100</f>
        <v>6.1585835257890684</v>
      </c>
    </row>
    <row r="9" spans="1:7" x14ac:dyDescent="0.3">
      <c r="A9" t="s">
        <v>16</v>
      </c>
      <c r="B9">
        <f t="shared" si="0"/>
        <v>0</v>
      </c>
      <c r="C9" s="1"/>
      <c r="D9" s="1"/>
      <c r="E9" s="1"/>
      <c r="F9" s="1"/>
      <c r="G9" s="1"/>
    </row>
    <row r="10" spans="1:7" x14ac:dyDescent="0.3">
      <c r="A10" t="s">
        <v>5</v>
      </c>
      <c r="B10">
        <f t="shared" si="0"/>
        <v>1.3838855107227483</v>
      </c>
      <c r="C10" s="1">
        <f>16/1197*100</f>
        <v>1.3366750208855471</v>
      </c>
      <c r="D10" s="1">
        <f>20/1051*100</f>
        <v>1.9029495718363463</v>
      </c>
      <c r="E10" s="1">
        <f>10/905*100</f>
        <v>1.1049723756906076</v>
      </c>
      <c r="F10" s="1">
        <f>12/861*100</f>
        <v>1.3937282229965158</v>
      </c>
      <c r="G10" s="1">
        <f>9/762*100</f>
        <v>1.1811023622047243</v>
      </c>
    </row>
    <row r="11" spans="1:7" x14ac:dyDescent="0.3">
      <c r="A11" t="s">
        <v>12</v>
      </c>
      <c r="B11">
        <f t="shared" si="0"/>
        <v>4.4654224142606802</v>
      </c>
      <c r="C11" s="1">
        <f>51/1208*100</f>
        <v>4.2218543046357615</v>
      </c>
      <c r="D11" s="1">
        <f>59/1026*100</f>
        <v>5.7504873294346979</v>
      </c>
      <c r="E11" s="1">
        <f>28/887*100</f>
        <v>3.1567080045095826</v>
      </c>
      <c r="F11" s="1">
        <f>39/929*100</f>
        <v>4.1980624327233578</v>
      </c>
      <c r="G11" s="1">
        <f>38/760*100</f>
        <v>5</v>
      </c>
    </row>
    <row r="12" spans="1:7" x14ac:dyDescent="0.3">
      <c r="A12" t="s">
        <v>13</v>
      </c>
      <c r="B12">
        <f t="shared" si="0"/>
        <v>3.98277288121096</v>
      </c>
      <c r="C12" s="1">
        <f>51/1357*100</f>
        <v>3.7582903463522479</v>
      </c>
      <c r="D12" s="1">
        <f>56/1332*100</f>
        <v>4.2042042042042045</v>
      </c>
      <c r="E12" s="1">
        <f>54/1167*100</f>
        <v>4.6272493573264777</v>
      </c>
      <c r="F12" s="1">
        <f>53/1189*100</f>
        <v>4.4575273338940287</v>
      </c>
      <c r="G12" s="1">
        <f>26/907*100</f>
        <v>2.8665931642778393</v>
      </c>
    </row>
    <row r="13" spans="1:7" x14ac:dyDescent="0.3">
      <c r="A13" t="s">
        <v>3</v>
      </c>
      <c r="B13">
        <f t="shared" si="0"/>
        <v>1.9602507144166643</v>
      </c>
      <c r="C13" s="1">
        <f>30/1379*100</f>
        <v>2.1754894851341553</v>
      </c>
      <c r="D13" s="1">
        <f>15/1383*100</f>
        <v>1.0845986984815619</v>
      </c>
      <c r="E13" s="1">
        <f>24/1205*100</f>
        <v>1.9917012448132778</v>
      </c>
      <c r="F13" s="1">
        <f>22/1119*100</f>
        <v>1.9660411081322611</v>
      </c>
      <c r="G13" s="1">
        <f>24/929*100</f>
        <v>2.5834230355220669</v>
      </c>
    </row>
    <row r="14" spans="1:7" x14ac:dyDescent="0.3">
      <c r="A14" t="s">
        <v>14</v>
      </c>
      <c r="B14">
        <f t="shared" si="0"/>
        <v>3.6715229351040763</v>
      </c>
      <c r="C14" s="1">
        <f>86/2067*100</f>
        <v>4.1606192549588776</v>
      </c>
      <c r="D14" s="1">
        <f>67/1728*100</f>
        <v>3.8773148148148149</v>
      </c>
      <c r="E14" s="1">
        <f>50/1678*100</f>
        <v>2.9797377830750893</v>
      </c>
      <c r="F14" s="1">
        <f>59/1611*100</f>
        <v>3.6623215394165118</v>
      </c>
      <c r="G14" s="1">
        <f>47/1278*100</f>
        <v>3.6776212832550863</v>
      </c>
    </row>
    <row r="15" spans="1:7" x14ac:dyDescent="0.3">
      <c r="A15" t="s">
        <v>2</v>
      </c>
      <c r="B15">
        <f t="shared" si="0"/>
        <v>2.1332914731104866</v>
      </c>
      <c r="C15" s="1">
        <f>36/1251*100</f>
        <v>2.877697841726619</v>
      </c>
      <c r="D15" s="1">
        <f>25/1193*100</f>
        <v>2.0955574182732608</v>
      </c>
      <c r="E15" s="1">
        <f>24/1021*100</f>
        <v>2.3506366307541624</v>
      </c>
      <c r="F15" s="1">
        <f>22/1049*100</f>
        <v>2.0972354623450906</v>
      </c>
      <c r="G15" s="1">
        <f>10/803*100</f>
        <v>1.2453300124533</v>
      </c>
    </row>
    <row r="16" spans="1:7" x14ac:dyDescent="0.3">
      <c r="A16" t="s">
        <v>7</v>
      </c>
      <c r="B16">
        <f t="shared" si="0"/>
        <v>2.5764278757545767</v>
      </c>
      <c r="C16" s="1">
        <f>19/892*100</f>
        <v>2.1300448430493271</v>
      </c>
      <c r="D16" s="1">
        <f>29/863*100</f>
        <v>3.3603707995365011</v>
      </c>
      <c r="E16" s="1">
        <f>21/866*100</f>
        <v>2.424942263279446</v>
      </c>
      <c r="F16" s="1">
        <f>21/801*100</f>
        <v>2.6217228464419478</v>
      </c>
      <c r="G16" s="1">
        <f>14/597*100</f>
        <v>2.3450586264656614</v>
      </c>
    </row>
    <row r="17" spans="1:7" x14ac:dyDescent="0.3">
      <c r="A17" t="s">
        <v>15</v>
      </c>
      <c r="B17">
        <f t="shared" si="0"/>
        <v>4.4542897810226254</v>
      </c>
      <c r="C17" s="1">
        <f>104/1574*100</f>
        <v>6.6073697585768736</v>
      </c>
      <c r="D17" s="1">
        <f>81/1550*100</f>
        <v>5.2258064516129039</v>
      </c>
      <c r="E17" s="1">
        <f>57/1413*100</f>
        <v>4.0339702760084926</v>
      </c>
      <c r="F17" s="1">
        <f>40/1378*100</f>
        <v>2.9027576197387517</v>
      </c>
      <c r="G17" s="1">
        <f>34/971*100</f>
        <v>3.5015447991761075</v>
      </c>
    </row>
    <row r="18" spans="1:7" x14ac:dyDescent="0.3">
      <c r="A18" t="s">
        <v>17</v>
      </c>
      <c r="B18">
        <f t="shared" si="0"/>
        <v>2.5192076035612159</v>
      </c>
      <c r="C18" s="1">
        <f>16/458*100</f>
        <v>3.4934497816593884</v>
      </c>
      <c r="D18" s="1">
        <f>14/416*100</f>
        <v>3.3653846153846154</v>
      </c>
      <c r="E18" s="1">
        <f>11/415*100</f>
        <v>2.6506024096385543</v>
      </c>
      <c r="F18" s="1">
        <f>8/466*100</f>
        <v>1.7167381974248928</v>
      </c>
      <c r="G18" s="1">
        <f>5/365*100</f>
        <v>1.3698630136986301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chanhee</dc:creator>
  <cp:lastModifiedBy>chanhee</cp:lastModifiedBy>
  <dcterms:created xsi:type="dcterms:W3CDTF">2018-06-08T11:55:25Z</dcterms:created>
  <dcterms:modified xsi:type="dcterms:W3CDTF">2018-06-10T12:30:19Z</dcterms:modified>
</cp:coreProperties>
</file>