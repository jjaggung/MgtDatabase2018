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nhee\Desktop\"/>
    </mc:Choice>
  </mc:AlternateContent>
  <xr:revisionPtr revIDLastSave="0" documentId="13_ncr:1_{792C59F1-DCED-473E-98E1-D7BB6097A52E}" xr6:coauthVersionLast="33" xr6:coauthVersionMax="33" xr10:uidLastSave="{00000000-0000-0000-0000-000000000000}"/>
  <bookViews>
    <workbookView xWindow="0" yWindow="465" windowWidth="18000" windowHeight="14460" xr2:uid="{00000000-000D-0000-FFFF-FFFF00000000}"/>
  </bookViews>
  <sheets>
    <sheet name="Sheet1" sheetId="1" r:id="rId1"/>
  </sheets>
  <calcPr calcId="179017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2" i="1"/>
  <c r="G15" i="1" l="1"/>
  <c r="G13" i="1"/>
  <c r="G14" i="1"/>
  <c r="G18" i="1"/>
  <c r="G17" i="1"/>
  <c r="G16" i="1"/>
  <c r="G12" i="1"/>
  <c r="G11" i="1"/>
  <c r="G10" i="1"/>
  <c r="G8" i="1"/>
  <c r="G7" i="1"/>
  <c r="G6" i="1"/>
  <c r="G5" i="1"/>
  <c r="G4" i="1"/>
  <c r="G3" i="1"/>
  <c r="G2" i="1"/>
  <c r="F15" i="1"/>
  <c r="F5" i="1"/>
  <c r="F7" i="1"/>
  <c r="F8" i="1"/>
  <c r="F12" i="1"/>
  <c r="F11" i="1"/>
  <c r="F18" i="1"/>
  <c r="F17" i="1"/>
  <c r="F16" i="1"/>
  <c r="F14" i="1"/>
  <c r="F13" i="1"/>
  <c r="F10" i="1"/>
  <c r="F6" i="1"/>
  <c r="F4" i="1"/>
  <c r="F3" i="1"/>
  <c r="F2" i="1"/>
  <c r="E13" i="1"/>
  <c r="E15" i="1"/>
  <c r="E18" i="1"/>
  <c r="E17" i="1"/>
  <c r="E16" i="1"/>
  <c r="E14" i="1"/>
  <c r="E12" i="1"/>
  <c r="E11" i="1"/>
  <c r="E10" i="1"/>
  <c r="E8" i="1"/>
  <c r="E7" i="1"/>
  <c r="E6" i="1"/>
  <c r="E5" i="1"/>
  <c r="E4" i="1"/>
  <c r="E3" i="1"/>
  <c r="E2" i="1"/>
  <c r="D18" i="1"/>
  <c r="D17" i="1"/>
  <c r="D16" i="1"/>
  <c r="D15" i="1"/>
  <c r="D14" i="1"/>
  <c r="D13" i="1"/>
  <c r="D12" i="1"/>
  <c r="D11" i="1"/>
  <c r="D10" i="1"/>
  <c r="D8" i="1"/>
  <c r="D7" i="1"/>
  <c r="D6" i="1"/>
  <c r="D5" i="1"/>
  <c r="D4" i="1"/>
  <c r="D3" i="1"/>
  <c r="D2" i="1"/>
  <c r="C18" i="1"/>
  <c r="C17" i="1"/>
  <c r="C16" i="1"/>
  <c r="C15" i="1"/>
  <c r="C14" i="1"/>
  <c r="C13" i="1"/>
  <c r="C12" i="1"/>
  <c r="C11" i="1"/>
  <c r="C10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<sst xmlns="http://schemas.openxmlformats.org/spreadsheetml/2006/main" count="24" uniqueCount="24">
  <si>
    <t>지역별</t>
    <phoneticPr fontId="1" type="noConversion"/>
  </si>
  <si>
    <t>서울</t>
    <phoneticPr fontId="1" type="noConversion"/>
  </si>
  <si>
    <t>부산</t>
    <phoneticPr fontId="1" type="noConversion"/>
  </si>
  <si>
    <t>대구</t>
    <phoneticPr fontId="1" type="noConversion"/>
  </si>
  <si>
    <t>인천</t>
    <phoneticPr fontId="1" type="noConversion"/>
  </si>
  <si>
    <t>광주</t>
    <phoneticPr fontId="1" type="noConversion"/>
  </si>
  <si>
    <t>대전</t>
    <phoneticPr fontId="1" type="noConversion"/>
  </si>
  <si>
    <t>울산</t>
    <phoneticPr fontId="1" type="noConversion"/>
  </si>
  <si>
    <t>경기</t>
    <phoneticPr fontId="1" type="noConversion"/>
  </si>
  <si>
    <t>강원</t>
    <phoneticPr fontId="1" type="noConversion"/>
  </si>
  <si>
    <t>충북</t>
    <phoneticPr fontId="1" type="noConversion"/>
  </si>
  <si>
    <t>충남</t>
    <phoneticPr fontId="1" type="noConversion"/>
  </si>
  <si>
    <t>전북</t>
    <phoneticPr fontId="1" type="noConversion"/>
  </si>
  <si>
    <t>전남</t>
    <phoneticPr fontId="1" type="noConversion"/>
  </si>
  <si>
    <t>경북</t>
    <phoneticPr fontId="1" type="noConversion"/>
  </si>
  <si>
    <t>경남</t>
    <phoneticPr fontId="1" type="noConversion"/>
  </si>
  <si>
    <t>세종</t>
    <phoneticPr fontId="1" type="noConversion"/>
  </si>
  <si>
    <t>제주</t>
    <phoneticPr fontId="1" type="noConversion"/>
  </si>
  <si>
    <t>2013년</t>
    <phoneticPr fontId="1" type="noConversion"/>
  </si>
  <si>
    <t>2014년</t>
    <phoneticPr fontId="1" type="noConversion"/>
  </si>
  <si>
    <t>2015년</t>
    <phoneticPr fontId="1" type="noConversion"/>
  </si>
  <si>
    <t>2016년</t>
    <phoneticPr fontId="1" type="noConversion"/>
  </si>
  <si>
    <t>소계</t>
    <phoneticPr fontId="1" type="noConversion"/>
  </si>
  <si>
    <t>2012년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</si>
</sst>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(* #,##0_);_(* \(#,##0\);_(* &quot;-&quot;_);_(@_)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176" fontId="2" fillId="0" borderId="0" applyFont="0" applyFill="0" applyBorder="0" applyAlignment="0" applyProtection="0"/>
  </cellStyleXfs>
  <cellXfs count="3">
    <xf numFmtId="0" fontId="0" fillId="0" borderId="0" xfId="0">
      <alignment vertical="center"/>
    </xf>
    <xf numFmtId="2" fontId="0" fillId="0" borderId="0" xfId="0" applyNumberFormat="1">
      <alignment vertical="center"/>
    </xf>
    <xf numFmtId="2" fontId="0" fillId="0" borderId="0" xfId="1" applyNumberFormat="1" applyFont="1" applyAlignme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K14" sqref="K14"/>
    </sheetView>
  </sheetViews>
  <sheetFormatPr defaultColWidth="8.875" defaultRowHeight="16.5" x14ac:dyDescent="0.3"/>
  <sheetData>
    <row r="1" spans="1:7" x14ac:dyDescent="0.3">
      <c r="A1" t="s">
        <v>0</v>
      </c>
      <c r="B1" t="s">
        <v>22</v>
      </c>
      <c r="C1" t="s">
        <v>23</v>
      </c>
      <c r="D1" t="s">
        <v>18</v>
      </c>
      <c r="E1" t="s">
        <v>19</v>
      </c>
      <c r="F1" t="s">
        <v>20</v>
      </c>
      <c r="G1" t="s">
        <v>21</v>
      </c>
    </row>
    <row r="2" spans="1:7" x14ac:dyDescent="0.3">
      <c r="A2" t="s">
        <v>1</v>
      </c>
      <c r="B2">
        <f>SUM(C2:G2)/5</f>
        <v>175.14499823536826</v>
      </c>
      <c r="C2" s="1">
        <f>6000/3800*100</f>
        <v>157.89473684210526</v>
      </c>
      <c r="D2" s="1">
        <f>6494/3534*100</f>
        <v>183.7577815506508</v>
      </c>
      <c r="E2" s="1">
        <f>6007/3344*100</f>
        <v>179.63516746411483</v>
      </c>
      <c r="F2" s="1">
        <f>6173/3433*100</f>
        <v>179.81357413341101</v>
      </c>
      <c r="G2" s="1">
        <f>4989/2857*100</f>
        <v>174.62373118655933</v>
      </c>
    </row>
    <row r="3" spans="1:7" x14ac:dyDescent="0.3">
      <c r="A3" t="s">
        <v>4</v>
      </c>
      <c r="B3">
        <f t="shared" ref="B3:B18" si="0">SUM(C3:G3)/5</f>
        <v>188.20072859915189</v>
      </c>
      <c r="C3" s="1">
        <f>2936/1572*100</f>
        <v>186.76844783715012</v>
      </c>
      <c r="D3" s="1">
        <f>2615/1383*100</f>
        <v>189.08170643528561</v>
      </c>
      <c r="E3" s="1">
        <f>2378/1232*100</f>
        <v>193.01948051948051</v>
      </c>
      <c r="F3" s="1">
        <f>2330/1249*100</f>
        <v>186.5492393915132</v>
      </c>
      <c r="G3" s="1">
        <f>2047/1103*100</f>
        <v>185.58476881233003</v>
      </c>
    </row>
    <row r="4" spans="1:7" x14ac:dyDescent="0.3">
      <c r="A4" t="s">
        <v>8</v>
      </c>
      <c r="B4">
        <f t="shared" si="0"/>
        <v>175.85210662054416</v>
      </c>
      <c r="C4" s="1">
        <f>13037/7106*100</f>
        <v>183.46467773712357</v>
      </c>
      <c r="D4" s="1">
        <f>11910/6485*100</f>
        <v>183.65458750963762</v>
      </c>
      <c r="E4" s="1">
        <f>10339/5713*100</f>
        <v>180.9732189742692</v>
      </c>
      <c r="F4" s="1">
        <f>10727/5963*100</f>
        <v>179.89267147409024</v>
      </c>
      <c r="G4" s="1">
        <f>8718/5763*100</f>
        <v>151.27537740760019</v>
      </c>
    </row>
    <row r="5" spans="1:7" x14ac:dyDescent="0.3">
      <c r="A5" t="s">
        <v>9</v>
      </c>
      <c r="B5">
        <f t="shared" si="0"/>
        <v>182.080416571054</v>
      </c>
      <c r="C5" s="1">
        <f>2301/1235*100</f>
        <v>186.31578947368422</v>
      </c>
      <c r="D5" s="1">
        <f>1925/1066*100</f>
        <v>180.58161350844279</v>
      </c>
      <c r="E5" s="1">
        <f>1634/911*100</f>
        <v>179.36333699231614</v>
      </c>
      <c r="F5" s="1">
        <f>1781/961*100</f>
        <v>185.3277835587929</v>
      </c>
      <c r="G5" s="1">
        <f>1266/708*100</f>
        <v>178.81355932203388</v>
      </c>
    </row>
    <row r="6" spans="1:7" x14ac:dyDescent="0.3">
      <c r="A6" t="s">
        <v>6</v>
      </c>
      <c r="B6">
        <f t="shared" si="0"/>
        <v>184.44976922790289</v>
      </c>
      <c r="C6" s="1">
        <f>1752/920*100</f>
        <v>190.43478260869566</v>
      </c>
      <c r="D6" s="2">
        <f>1657/917*100</f>
        <v>180.69792802617229</v>
      </c>
      <c r="E6" s="1">
        <f>1348/742*100</f>
        <v>181.67115902964957</v>
      </c>
      <c r="F6" s="1">
        <f>1349/730*100</f>
        <v>184.79452054794521</v>
      </c>
      <c r="G6" s="1">
        <f>1215/658*100</f>
        <v>184.65045592705167</v>
      </c>
    </row>
    <row r="7" spans="1:7" x14ac:dyDescent="0.3">
      <c r="A7" t="s">
        <v>10</v>
      </c>
      <c r="B7">
        <f t="shared" si="0"/>
        <v>177.80891282641733</v>
      </c>
      <c r="C7" s="1">
        <f>2214/1237*100</f>
        <v>178.98140662894099</v>
      </c>
      <c r="D7" s="1">
        <f>2207/1174*100</f>
        <v>187.98977853492335</v>
      </c>
      <c r="E7" s="1">
        <f>1853/1040*100</f>
        <v>178.17307692307693</v>
      </c>
      <c r="F7" s="1">
        <f>1858/1098*100</f>
        <v>169.21675774134789</v>
      </c>
      <c r="G7" s="1">
        <f>1518/869*100</f>
        <v>174.68354430379748</v>
      </c>
    </row>
    <row r="8" spans="1:7" x14ac:dyDescent="0.3">
      <c r="A8" t="s">
        <v>11</v>
      </c>
      <c r="B8">
        <f t="shared" si="0"/>
        <v>167.60876445375666</v>
      </c>
      <c r="C8" s="1">
        <f>3247/1840*100</f>
        <v>176.46739130434784</v>
      </c>
      <c r="D8" s="1">
        <f>2732/1608*100</f>
        <v>169.90049751243782</v>
      </c>
      <c r="E8" s="1">
        <f>2484/1504*100</f>
        <v>165.15957446808511</v>
      </c>
      <c r="F8" s="1">
        <f>2569/1562*100</f>
        <v>164.46862996158771</v>
      </c>
      <c r="G8" s="1">
        <f>2105/1299*100</f>
        <v>162.04772902232486</v>
      </c>
    </row>
    <row r="9" spans="1:7" x14ac:dyDescent="0.3">
      <c r="A9" t="s">
        <v>16</v>
      </c>
      <c r="B9">
        <f t="shared" si="0"/>
        <v>0</v>
      </c>
      <c r="C9" s="1"/>
      <c r="D9" s="1"/>
      <c r="E9" s="1"/>
      <c r="F9" s="1"/>
      <c r="G9" s="1"/>
    </row>
    <row r="10" spans="1:7" x14ac:dyDescent="0.3">
      <c r="A10" t="s">
        <v>5</v>
      </c>
      <c r="B10">
        <f t="shared" si="0"/>
        <v>194.62384812963214</v>
      </c>
      <c r="C10" s="1">
        <f>2300/1197*100</f>
        <v>192.1470342522974</v>
      </c>
      <c r="D10" s="1">
        <f>2067/1051*100</f>
        <v>196.66983824928639</v>
      </c>
      <c r="E10" s="1">
        <f>1775/905*100</f>
        <v>196.13259668508286</v>
      </c>
      <c r="F10" s="1">
        <f>1645/861*100</f>
        <v>191.0569105691057</v>
      </c>
      <c r="G10" s="1">
        <f>1502/762*100</f>
        <v>197.11286089238845</v>
      </c>
    </row>
    <row r="11" spans="1:7" x14ac:dyDescent="0.3">
      <c r="A11" t="s">
        <v>12</v>
      </c>
      <c r="B11">
        <f t="shared" si="0"/>
        <v>180.32324427975655</v>
      </c>
      <c r="C11" s="1">
        <f>2157/1208*100</f>
        <v>178.55960264900662</v>
      </c>
      <c r="D11" s="1">
        <f>1911/1026*100</f>
        <v>186.25730994152048</v>
      </c>
      <c r="E11" s="1">
        <f>1638/887*100</f>
        <v>184.66741826381059</v>
      </c>
      <c r="F11" s="1">
        <f>1648/929*100</f>
        <v>177.39504843918192</v>
      </c>
      <c r="G11" s="1">
        <f>1328/760*100</f>
        <v>174.73684210526318</v>
      </c>
    </row>
    <row r="12" spans="1:7" x14ac:dyDescent="0.3">
      <c r="A12" t="s">
        <v>13</v>
      </c>
      <c r="B12">
        <f t="shared" si="0"/>
        <v>172.56846589944149</v>
      </c>
      <c r="C12" s="1">
        <f>2449/1357*100</f>
        <v>180.47162859248343</v>
      </c>
      <c r="D12" s="1">
        <f>2332/1332*100</f>
        <v>175.07507507507506</v>
      </c>
      <c r="E12" s="1">
        <f>1986/1167*100</f>
        <v>170.17994858611826</v>
      </c>
      <c r="F12" s="1">
        <f>2038/1189*100</f>
        <v>171.40454163162323</v>
      </c>
      <c r="G12" s="1">
        <f>1503/907*100</f>
        <v>165.71113561190737</v>
      </c>
    </row>
    <row r="13" spans="1:7" x14ac:dyDescent="0.3">
      <c r="A13" t="s">
        <v>3</v>
      </c>
      <c r="B13">
        <f t="shared" si="0"/>
        <v>172.23644277397523</v>
      </c>
      <c r="C13" s="1">
        <f>2394/1379*100</f>
        <v>173.60406091370558</v>
      </c>
      <c r="D13" s="1">
        <f>2235/1383*100</f>
        <v>161.6052060737527</v>
      </c>
      <c r="E13" s="1">
        <f>2155/1205*100</f>
        <v>178.83817427385893</v>
      </c>
      <c r="F13" s="1">
        <f>1956/1119*100</f>
        <v>174.79892761394103</v>
      </c>
      <c r="G13" s="1">
        <f>1601/929*100</f>
        <v>172.33584499461787</v>
      </c>
    </row>
    <row r="14" spans="1:7" x14ac:dyDescent="0.3">
      <c r="A14" t="s">
        <v>14</v>
      </c>
      <c r="B14">
        <f t="shared" si="0"/>
        <v>166.53585842246167</v>
      </c>
      <c r="C14" s="1">
        <f>3496/2067*100</f>
        <v>169.13401064344461</v>
      </c>
      <c r="D14" s="1">
        <f>2952/1728*100</f>
        <v>170.83333333333331</v>
      </c>
      <c r="E14" s="1">
        <f>2819/1678*100</f>
        <v>167.99761620977353</v>
      </c>
      <c r="F14" s="1">
        <f>2618/1611*100</f>
        <v>162.50775915580385</v>
      </c>
      <c r="G14" s="1">
        <f>2073/1278*100</f>
        <v>162.20657276995306</v>
      </c>
    </row>
    <row r="15" spans="1:7" x14ac:dyDescent="0.3">
      <c r="A15" t="s">
        <v>2</v>
      </c>
      <c r="B15">
        <f t="shared" si="0"/>
        <v>174.36091689117771</v>
      </c>
      <c r="C15" s="1">
        <f>2209/1251*100</f>
        <v>176.57873701039168</v>
      </c>
      <c r="D15" s="1">
        <f>2093/1193*100</f>
        <v>175.44006705783738</v>
      </c>
      <c r="E15" s="1">
        <f>1853/1021*100</f>
        <v>181.48873653281098</v>
      </c>
      <c r="F15" s="1">
        <f>1793/1049*100</f>
        <v>170.92469018112487</v>
      </c>
      <c r="G15" s="1">
        <f>1344/803*100</f>
        <v>167.37235367372355</v>
      </c>
    </row>
    <row r="16" spans="1:7" x14ac:dyDescent="0.3">
      <c r="A16" t="s">
        <v>7</v>
      </c>
      <c r="B16">
        <f t="shared" si="0"/>
        <v>169.28596929097691</v>
      </c>
      <c r="C16" s="1">
        <f>1545/892*100</f>
        <v>173.20627802690584</v>
      </c>
      <c r="D16" s="1">
        <f>1432/863*100</f>
        <v>165.93279258400929</v>
      </c>
      <c r="E16" s="1">
        <f>1471/866*100</f>
        <v>169.86143187066975</v>
      </c>
      <c r="F16" s="1">
        <f>1345/801*100</f>
        <v>167.91510611735333</v>
      </c>
      <c r="G16" s="1">
        <f>1012/597*100</f>
        <v>169.51423785594639</v>
      </c>
    </row>
    <row r="17" spans="1:7" x14ac:dyDescent="0.3">
      <c r="A17" t="s">
        <v>15</v>
      </c>
      <c r="B17">
        <f t="shared" si="0"/>
        <v>164.16662658228933</v>
      </c>
      <c r="C17" s="1">
        <f>2560/1574*100</f>
        <v>162.64294790343075</v>
      </c>
      <c r="D17" s="1">
        <f>2478/1550*100</f>
        <v>159.87096774193549</v>
      </c>
      <c r="E17" s="1">
        <f>2352/1413*100</f>
        <v>166.45435244161359</v>
      </c>
      <c r="F17" s="1">
        <f>2284/1378*100</f>
        <v>165.74746008708271</v>
      </c>
      <c r="G17" s="1">
        <f>1613/971*100</f>
        <v>166.11740473738413</v>
      </c>
    </row>
    <row r="18" spans="1:7" x14ac:dyDescent="0.3">
      <c r="A18" t="s">
        <v>17</v>
      </c>
      <c r="B18">
        <f t="shared" si="0"/>
        <v>162.88763238617722</v>
      </c>
      <c r="C18" s="1">
        <f>749/458*100</f>
        <v>163.53711790393012</v>
      </c>
      <c r="D18" s="1">
        <f>671/416*100</f>
        <v>161.29807692307691</v>
      </c>
      <c r="E18" s="1">
        <f>680/415*100</f>
        <v>163.85542168674698</v>
      </c>
      <c r="F18" s="1">
        <f>766/466*100</f>
        <v>164.37768240343345</v>
      </c>
      <c r="G18" s="1">
        <f>589/365*100</f>
        <v>161.36986301369862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chanhee</dc:creator>
  <cp:lastModifiedBy>chanhee</cp:lastModifiedBy>
  <dcterms:created xsi:type="dcterms:W3CDTF">2018-06-08T11:55:25Z</dcterms:created>
  <dcterms:modified xsi:type="dcterms:W3CDTF">2018-06-10T12:31:03Z</dcterms:modified>
</cp:coreProperties>
</file>